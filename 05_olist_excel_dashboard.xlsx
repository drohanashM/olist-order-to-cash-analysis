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" sheetId="2" state="visible" r:id="rId4"/>
    <sheet name="Categories" sheetId="3" state="visible" r:id="rId5"/>
    <sheet name="State_Delivery" sheetId="4" state="visible" r:id="rId6"/>
    <sheet name="Review_Impact" sheetId="5" state="visible" r:id="rId7"/>
    <sheet name="Review_Score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<sst xmlns="http://schemas.openxmlformats.org/spreadsheetml/2006/main" count="129" uniqueCount="125">
  <si>
    <t xml:space="preserve">Order-to-Cash Performance - Olist E-commerce</t>
  </si>
  <si>
    <t xml:space="preserve">Where is the business losing revenue or customer satisfaction? Sep-2016 to Oct-2018, real Olist data. Amounts in R$.</t>
  </si>
  <si>
    <t xml:space="preserve">TOTAL REVENUE (R$)</t>
  </si>
  <si>
    <t xml:space="preserve">ORDERS</t>
  </si>
  <si>
    <t xml:space="preserve">AVG ORDER VALUE (R$)</t>
  </si>
  <si>
    <t xml:space="preserve">ON-TIME DELIVERY %</t>
  </si>
  <si>
    <t xml:space="preserve">AVG REVIEW SCORE (1-5)</t>
  </si>
  <si>
    <t xml:space="preserve">Item prices, excl. freight</t>
  </si>
  <si>
    <t xml:space="preserve">Not canceled / unavailable</t>
  </si>
  <si>
    <t xml:space="preserve">Revenue / orders</t>
  </si>
  <si>
    <t xml:space="preserve">Delivered on or before promised day</t>
  </si>
  <si>
    <t xml:space="preserve">Latest review per order</t>
  </si>
  <si>
    <t xml:space="preserve">HOW TO READ THIS</t>
  </si>
  <si>
    <t xml:space="preserve">1) The five cards at the top are the headline numbers; they are calculated by formulas from the data tabs.  2) Revenue chart: is the business growing?  Category chart: which product groups earn the money?  State chart: the taller the bar, the larger the share of orders that arrive after the promised date.  Bottom-right chart: how much a late delivery hurts the customer review score.  3) "Late" means delivered on a later day than the estimated delivery date. The tabs Monthly, Categories, State_Delivery, Review_Impact and Notes hold the data and definitions.</t>
  </si>
  <si>
    <t xml:space="preserve">KEY TAKEAWAYS (calculated)</t>
  </si>
  <si>
    <t xml:space="preserve">Monthly revenue and orders (orders not canceled/unavailable) - values from SQL Q1; blue = values from SQL, black = formulas</t>
  </si>
  <si>
    <t xml:space="preserve">Order month</t>
  </si>
  <si>
    <t xml:space="preserve">Orders</t>
  </si>
  <si>
    <t xml:space="preserve">Revenue (R$)</t>
  </si>
  <si>
    <t xml:space="preserve">Avg order value (R$)</t>
  </si>
  <si>
    <t xml:space="preserve">Revenue vs prior month</t>
  </si>
  <si>
    <t xml:space="preserve">2016-09</t>
  </si>
  <si>
    <t xml:space="preserve">n/a</t>
  </si>
  <si>
    <t xml:space="preserve">2016-10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</si>
  <si>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</si>
  <si>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</si>
  <si>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</si>
  <si>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</si>
  <si>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</si>
  <si>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</si>
  <si>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</si>
  <si>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</si>
  <si>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</si>
  <si>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</si>
  <si>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</si>
  <si>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</si>
  <si>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</si>
  <si>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</si>
  <si>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</si>
  <si>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</si>
  <si>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</si>
  <si>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</si>
  <si>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</si>
  <si>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</si>
  <si>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</si>
  <si>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</si>
  <si>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Total</t>
  </si>
  <si>
    <t xml:space="preserve">Note: 2016 months and Sep-2018 have only a handful of orders, so the trend chart on the Summary uses Jan-2017 to Aug-2018 only. Totals include every month.</t>
  </si>
  <si>
    <t xml:space="preserve">Top 10 product categories by revenue - values from SQL Q2</t>
  </si>
  <si>
    <t xml:space="preserve">Rank</t>
  </si>
  <si>
    <t xml:space="preserve">Category</t>
  </si>
  <si>
    <t xml:space="preserve">Items sold</t>
  </si>
  <si>
    <t xml:space="preserve">Share of total revenue</t>
  </si>
  <si>
    <t xml:space="preserve">health_beauty</t>
  </si>
  <si>
    <t xml:space="preserve">watches_gifts</t>
  </si>
  <si>
    <t xml:space="preserve">bed_bath_table</t>
  </si>
  <si>
    <t xml:space="preserve">sports_leisure</t>
  </si>
  <si>
    <t xml:space="preserve">computers_accessories</t>
  </si>
  <si>
    <t xml:space="preserve">furniture_decor</t>
  </si>
  <si>
    <t xml:space="preserve">housewares</t>
  </si>
  <si>
    <t xml:space="preserve">cool_stuff</t>
  </si>
  <si>
    <t xml:space="preserve">auto</t>
  </si>
  <si>
    <t xml:space="preserve">garden_tools</t>
  </si>
  <si>
    <t xml:space="preserve">Top 10 total</t>
  </si>
  <si>
    <t xml:space="preserve">Delivery performance by customer state (delivered orders) - values from SQL Q3 and Q4</t>
  </si>
  <si>
    <t xml:space="preserve">State</t>
  </si>
  <si>
    <t xml:space="preserve">Delivered orders</t>
  </si>
  <si>
    <t xml:space="preserve">Late orders</t>
  </si>
  <si>
    <t xml:space="preserve">Late %</t>
  </si>
  <si>
    <t xml:space="preserve">Avg actual days</t>
  </si>
  <si>
    <t xml:space="preserve">Avg promised days</t>
  </si>
  <si>
    <t xml:space="preserve">Days earlier than promised</t>
  </si>
  <si>
    <t xml:space="preserve">AL</t>
  </si>
  <si>
    <t xml:space="preserve">MA</t>
  </si>
  <si>
    <t xml:space="preserve">SE</t>
  </si>
  <si>
    <t xml:space="preserve">PI</t>
  </si>
  <si>
    <t xml:space="preserve">CE</t>
  </si>
  <si>
    <t xml:space="preserve">RR</t>
  </si>
  <si>
    <t xml:space="preserve">BA</t>
  </si>
  <si>
    <t xml:space="preserve">RJ</t>
  </si>
  <si>
    <t xml:space="preserve">PA</t>
  </si>
  <si>
    <t xml:space="preserve">ES</t>
  </si>
  <si>
    <t xml:space="preserve">PB</t>
  </si>
  <si>
    <t xml:space="preserve">TO</t>
  </si>
  <si>
    <t xml:space="preserve">MS</t>
  </si>
  <si>
    <t xml:space="preserve">PE</t>
  </si>
  <si>
    <t xml:space="preserve">RN</t>
  </si>
  <si>
    <t xml:space="preserve">SC</t>
  </si>
  <si>
    <t xml:space="preserve">GO</t>
  </si>
  <si>
    <t xml:space="preserve">RS</t>
  </si>
  <si>
    <t xml:space="preserve">MT</t>
  </si>
  <si>
    <t xml:space="preserve">DF</t>
  </si>
  <si>
    <t xml:space="preserve">MG</t>
  </si>
  <si>
    <t xml:space="preserve">SP</t>
  </si>
  <si>
    <t xml:space="preserve">PR</t>
  </si>
  <si>
    <t xml:space="preserve">AC</t>
  </si>
  <si>
    <t xml:space="preserve">AP</t>
  </si>
  <si>
    <t xml:space="preserve">RO</t>
  </si>
  <si>
    <t xml:space="preserve">AM</t>
  </si>
  <si>
    <t xml:space="preserve">All states</t>
  </si>
  <si>
    <t xml:space="preserve">Late = delivered on a later calendar day than the estimated delivery date. Sorted by late % (worst first). Small states (AP, RR, AC, AM, RO) have under 250 orders, so their % moves a lot.</t>
  </si>
  <si>
    <t xml:space="preserve">Late delivery vs customer review score (delivered orders with a review) - values from SQL Q5</t>
  </si>
  <si>
    <t xml:space="preserve">Delivery outcome</t>
  </si>
  <si>
    <t xml:space="preserve">Reviewed orders</t>
  </si>
  <si>
    <t xml:space="preserve">Avg review score (1-5)</t>
  </si>
  <si>
    <t xml:space="preserve">% bad reviews (1-2 stars)</t>
  </si>
  <si>
    <t xml:space="preserve">% five-star</t>
  </si>
  <si>
    <t xml:space="preserve">On time or early</t>
  </si>
  <si>
    <t xml:space="preserve">Late 1-3 days</t>
  </si>
  <si>
    <t xml:space="preserve">Late 4-7 days</t>
  </si>
  <si>
    <t xml:space="preserve">Late more than 7 days</t>
  </si>
  <si>
    <t xml:space="preserve">Score drop when late (stars)</t>
  </si>
  <si>
    <t xml:space="preserve">Late orders as % of reviewed orders</t>
  </si>
  <si>
    <t xml:space="preserve">Review score counts, latest review per order, all orders - from the reviews table</t>
  </si>
  <si>
    <t xml:space="preserve">Score</t>
  </si>
  <si>
    <t xml:space="preserve">Average</t>
  </si>
  <si>
    <t xml:space="preserve">DEFINITIONS AND ASSUMPTIONS</t>
  </si>
  <si>
    <t xml:space="preserve">Revenue = sum of item prices (freight excluded) on orders that are not canceled or unavailable. Amounts are in Brazilian reais (R$) per the dataset description; the CSV files themselves carry no currency label.</t>
  </si>
  <si>
    <t xml:space="preserve">Orders = distinct orders with at least one item, same status filter as revenue.</t>
  </si>
  <si>
    <t xml:space="preserve">Average order value = revenue / orders (item price only). Q7 in the SQL file uses total payments incl. freight, so its numbers are higher.</t>
  </si>
  <si>
    <t xml:space="preserve">Delivered = order status "delivered" with a customer delivery date. On-time % = 1 - late orders / delivered orders.</t>
  </si>
  <si>
    <t xml:space="preserve">Late = delivery date is on a later calendar day than the estimated delivery date.</t>
  </si>
  <si>
    <t xml:space="preserve">Average review score = latest review per order, all 98,673 reviewed orders.</t>
  </si>
  <si>
    <t xml:space="preserve">Blue numbers are values taken from the SQL query results (olist_analysis.sql); black numbers are Excel formulas.</t>
  </si>
  <si>
    <t xml:space="preserve">Source: Olist Brazilian E-Commerce public dataset (orders from Sep-2016 to Oct-2018).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</si>
</sst>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0.0%"/>
    <numFmt numFmtId="168" formatCode="0.00"/>
    <numFmt numFmtId="169" formatCode="0%"/>
    <numFmt numFmtId="170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78787"/>
      <rgbColor rgb="FF9999FF"/>
      <rgbColor rgb="FF993366"/>
      <rgbColor rgb="FFF3F4F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(R$), Jan-2017 to Aug-2018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f766e"/>
            </a:solidFill>
            <a:ln w="28080">
              <a:solidFill>
                <a:srgbClr val="0f76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Monthly!$A$7:$A$26</c:f>
              <c:strCache>
                <c:ptCount val="20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  <c:pt idx="12">
                  <c:v>2018-01</c:v>
                </c:pt>
                <c:pt idx="13">
                  <c:v>2018-02</c:v>
                </c:pt>
                <c:pt idx="14">
                  <c:v>2018-03</c:v>
                </c:pt>
                <c:pt idx="15">
                  <c:v>2018-04</c:v>
                </c:pt>
                <c:pt idx="16">
                  <c:v>2018-05</c:v>
                </c:pt>
                <c:pt idx="17">
                  <c:v>2018-06</c:v>
                </c:pt>
                <c:pt idx="18">
                  <c:v>2018-07</c:v>
                </c:pt>
                <c:pt idx="19">
                  <c:v>2018-08</c:v>
                </c:pt>
              </c:strCache>
            </c:strRef>
          </c:cat>
          <c:val>
            <c:numRef>
              <c:f>Monthly!$C$7:$C$26</c:f>
              <c:numCache>
                <c:formatCode>#,##0</c:formatCode>
                <c:ptCount val="20"/>
                <c:pt idx="0">
                  <c:v>120098.27</c:v>
                </c:pt>
                <c:pt idx="1">
                  <c:v>244959.35</c:v>
                </c:pt>
                <c:pt idx="2">
                  <c:v>368341.32</c:v>
                </c:pt>
                <c:pt idx="3">
                  <c:v>353842.98</c:v>
                </c:pt>
                <c:pt idx="4">
                  <c:v>503159.19</c:v>
                </c:pt>
                <c:pt idx="5">
                  <c:v>429916.61</c:v>
                </c:pt>
                <c:pt idx="6">
                  <c:v>492287.3</c:v>
                </c:pt>
                <c:pt idx="7">
                  <c:v>568245.79</c:v>
                </c:pt>
                <c:pt idx="8">
                  <c:v>621415.91</c:v>
                </c:pt>
                <c:pt idx="9">
                  <c:v>660179.62</c:v>
                </c:pt>
                <c:pt idx="10">
                  <c:v>1003862.14</c:v>
                </c:pt>
                <c:pt idx="11">
                  <c:v>742183.79</c:v>
                </c:pt>
                <c:pt idx="12">
                  <c:v>945456.29</c:v>
                </c:pt>
                <c:pt idx="13">
                  <c:v>837895.43</c:v>
                </c:pt>
                <c:pt idx="14">
                  <c:v>981051.06</c:v>
                </c:pt>
                <c:pt idx="15">
                  <c:v>993592.98</c:v>
                </c:pt>
                <c:pt idx="16">
                  <c:v>992871.75</c:v>
                </c:pt>
                <c:pt idx="17">
                  <c:v>863265.53</c:v>
                </c:pt>
                <c:pt idx="18">
                  <c:v>878044.27</c:v>
                </c:pt>
                <c:pt idx="19">
                  <c:v>848860.1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845138"/>
        <c:axId val="53126740"/>
      </c:lineChart>
      <c:catAx>
        <c:axId val="468451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126740"/>
        <c:crosses val="autoZero"/>
        <c:auto val="1"/>
        <c:lblAlgn val="ctr"/>
        <c:lblOffset val="100"/>
        <c:noMultiLvlLbl val="0"/>
      </c:catAx>
      <c:valAx>
        <c:axId val="53126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845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categories by revenue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Categories!$B$4:$B$13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housewares</c:v>
                </c:pt>
                <c:pt idx="7">
                  <c:v>cool_stuff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Categories!$E$4:$E$13</c:f>
              <c:numCache>
                <c:formatCode>#,##0</c:formatCode>
                <c:ptCount val="10"/>
                <c:pt idx="0">
                  <c:v>1255695.13</c:v>
                </c:pt>
                <c:pt idx="1">
                  <c:v>1198185.21</c:v>
                </c:pt>
                <c:pt idx="2">
                  <c:v>1035964.06</c:v>
                </c:pt>
                <c:pt idx="3">
                  <c:v>979740.92</c:v>
                </c:pt>
                <c:pt idx="4">
                  <c:v>904322.02</c:v>
                </c:pt>
                <c:pt idx="5">
                  <c:v>727465.05</c:v>
                </c:pt>
                <c:pt idx="6">
                  <c:v>626825.8</c:v>
                </c:pt>
                <c:pt idx="7">
                  <c:v>620770.49</c:v>
                </c:pt>
                <c:pt idx="8">
                  <c:v>586585.73</c:v>
                </c:pt>
                <c:pt idx="9">
                  <c:v>481009.94</c:v>
                </c:pt>
              </c:numCache>
            </c:numRef>
          </c:val>
        </c:ser>
        <c:gapWidth val="60"/>
        <c:overlap val="0"/>
        <c:axId val="76175028"/>
        <c:axId val="35176531"/>
      </c:barChart>
      <c:catAx>
        <c:axId val="76175028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76531"/>
        <c:crosses val="autoZero"/>
        <c:auto val="1"/>
        <c:lblAlgn val="ctr"/>
        <c:lblOffset val="100"/>
        <c:noMultiLvlLbl val="0"/>
      </c:catAx>
      <c:valAx>
        <c:axId val="35176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750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deliveries that arrived late, by customer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State_Delivery!$A$4:$A$30</c:f>
              <c:strCache>
                <c:ptCount val="27"/>
                <c:pt idx="0">
                  <c:v>AL</c:v>
                </c:pt>
                <c:pt idx="1">
                  <c:v>MA</c:v>
                </c:pt>
                <c:pt idx="2">
                  <c:v>SE</c:v>
                </c:pt>
                <c:pt idx="3">
                  <c:v>PI</c:v>
                </c:pt>
                <c:pt idx="4">
                  <c:v>CE</c:v>
                </c:pt>
                <c:pt idx="5">
                  <c:v>RR</c:v>
                </c:pt>
                <c:pt idx="6">
                  <c:v>BA</c:v>
                </c:pt>
                <c:pt idx="7">
                  <c:v>RJ</c:v>
                </c:pt>
                <c:pt idx="8">
                  <c:v>PA</c:v>
                </c:pt>
                <c:pt idx="9">
                  <c:v>ES</c:v>
                </c:pt>
                <c:pt idx="10">
                  <c:v>PB</c:v>
                </c:pt>
                <c:pt idx="11">
                  <c:v>TO</c:v>
                </c:pt>
                <c:pt idx="12">
                  <c:v>MS</c:v>
                </c:pt>
                <c:pt idx="13">
                  <c:v>PE</c:v>
                </c:pt>
                <c:pt idx="14">
                  <c:v>RN</c:v>
                </c:pt>
                <c:pt idx="15">
                  <c:v>SC</c:v>
                </c:pt>
                <c:pt idx="16">
                  <c:v>GO</c:v>
                </c:pt>
                <c:pt idx="17">
                  <c:v>RS</c:v>
                </c:pt>
                <c:pt idx="18">
                  <c:v>MT</c:v>
                </c:pt>
                <c:pt idx="19">
                  <c:v>DF</c:v>
                </c:pt>
                <c:pt idx="20">
                  <c:v>MG</c:v>
                </c:pt>
                <c:pt idx="21">
                  <c:v>SP</c:v>
                </c:pt>
                <c:pt idx="22">
                  <c:v>PR</c:v>
                </c:pt>
                <c:pt idx="23">
                  <c:v>AC</c:v>
                </c:pt>
                <c:pt idx="24">
                  <c:v>AP</c:v>
                </c:pt>
                <c:pt idx="25">
                  <c:v>RO</c:v>
                </c:pt>
                <c:pt idx="26">
                  <c:v>AM</c:v>
                </c:pt>
              </c:strCache>
            </c:strRef>
          </c:cat>
          <c:val>
            <c:numRef>
              <c:f>State_Delivery!$D$4:$D$30</c:f>
              <c:numCache>
                <c:formatCode>0.0%</c:formatCode>
                <c:ptCount val="27"/>
                <c:pt idx="0">
                  <c:v>0.214105793450882</c:v>
                </c:pt>
                <c:pt idx="1">
                  <c:v>0.174337517433752</c:v>
                </c:pt>
                <c:pt idx="2">
                  <c:v>0.152238805970149</c:v>
                </c:pt>
                <c:pt idx="3">
                  <c:v>0.138655462184874</c:v>
                </c:pt>
                <c:pt idx="4">
                  <c:v>0.137607505863956</c:v>
                </c:pt>
                <c:pt idx="5">
                  <c:v>0.121951219512195</c:v>
                </c:pt>
                <c:pt idx="6">
                  <c:v>0.121621621621622</c:v>
                </c:pt>
                <c:pt idx="7">
                  <c:v>0.121052631578947</c:v>
                </c:pt>
                <c:pt idx="8">
                  <c:v>0.112050739957717</c:v>
                </c:pt>
                <c:pt idx="9">
                  <c:v>0.107268170426065</c:v>
                </c:pt>
                <c:pt idx="10">
                  <c:v>0.104448742746615</c:v>
                </c:pt>
                <c:pt idx="11">
                  <c:v>0.0985401459854015</c:v>
                </c:pt>
                <c:pt idx="12">
                  <c:v>0.0970042796005706</c:v>
                </c:pt>
                <c:pt idx="13">
                  <c:v>0.096045197740113</c:v>
                </c:pt>
                <c:pt idx="14">
                  <c:v>0.0928270042194093</c:v>
                </c:pt>
                <c:pt idx="15">
                  <c:v>0.0820642978003384</c:v>
                </c:pt>
                <c:pt idx="16">
                  <c:v>0.0654062340316812</c:v>
                </c:pt>
                <c:pt idx="17">
                  <c:v>0.0608158682634731</c:v>
                </c:pt>
                <c:pt idx="18">
                  <c:v>0.0598194130925508</c:v>
                </c:pt>
                <c:pt idx="19">
                  <c:v>0.0567307692307692</c:v>
                </c:pt>
                <c:pt idx="20">
                  <c:v>0.0457107627267923</c:v>
                </c:pt>
                <c:pt idx="21">
                  <c:v>0.0449449301131032</c:v>
                </c:pt>
                <c:pt idx="22">
                  <c:v>0.0404225066016657</c:v>
                </c:pt>
                <c:pt idx="23">
                  <c:v>0.0375</c:v>
                </c:pt>
                <c:pt idx="24">
                  <c:v>0.0298507462686567</c:v>
                </c:pt>
                <c:pt idx="25">
                  <c:v>0.0288065843621399</c:v>
                </c:pt>
                <c:pt idx="26">
                  <c:v>0.0275862068965517</c:v>
                </c:pt>
              </c:numCache>
            </c:numRef>
          </c:val>
        </c:ser>
        <c:gapWidth val="40"/>
        <c:overlap val="0"/>
        <c:axId val="54448837"/>
        <c:axId val="28191815"/>
      </c:barChart>
      <c:catAx>
        <c:axId val="5444883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191815"/>
        <c:crosses val="autoZero"/>
        <c:auto val="1"/>
        <c:lblAlgn val="ctr"/>
        <c:lblOffset val="100"/>
        <c:noMultiLvlLbl val="0"/>
      </c:catAx>
      <c:valAx>
        <c:axId val="281918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of delivered orders late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48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review score by delivery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f766e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Review_Impact!$A$4:$A$7</c:f>
              <c:strCache>
                <c:ptCount val="4"/>
                <c:pt idx="0">
                  <c:v>On time or early</c:v>
                </c:pt>
                <c:pt idx="1">
                  <c:v>Late 1-3 days</c:v>
                </c:pt>
                <c:pt idx="2">
                  <c:v>Late 4-7 days</c:v>
                </c:pt>
                <c:pt idx="3">
                  <c:v>Late more than 7 days</c:v>
                </c:pt>
              </c:strCache>
            </c:strRef>
          </c:cat>
          <c:val>
            <c:numRef>
              <c:f>Review_Impact!$C$4:$C$7</c:f>
              <c:numCache>
                <c:formatCode>0.00</c:formatCode>
                <c:ptCount val="4"/>
                <c:pt idx="0">
                  <c:v>4.29</c:v>
                </c:pt>
                <c:pt idx="1">
                  <c:v>3.29</c:v>
                </c:pt>
                <c:pt idx="2">
                  <c:v>2.1</c:v>
                </c:pt>
                <c:pt idx="3">
                  <c:v>1.7</c:v>
                </c:pt>
              </c:numCache>
            </c:numRef>
          </c:val>
        </c:ser>
        <c:gapWidth val="60"/>
        <c:overlap val="0"/>
        <c:axId val="99459458"/>
        <c:axId val="9584148"/>
      </c:barChart>
      <c:catAx>
        <c:axId val="99459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84148"/>
        <c:crosses val="autoZero"/>
        <c:auto val="1"/>
        <c:lblAlgn val="ctr"/>
        <c:lblOffset val="100"/>
        <c:noMultiLvlLbl val="0"/>
      </c:catAx>
      <c:valAx>
        <c:axId val="958414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Stars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594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70200</xdr:rowOff>
    </xdr:from>
    <xdr:to>
      <xdr:col>5</xdr:col>
      <xdr:colOff>875880</xdr:colOff>
      <xdr:row>26</xdr:row>
      <xdr:rowOff>92160</xdr:rowOff>
    </xdr:to>
    <xdr:graphicFrame>
      <xdr:nvGraphicFramePr>
        <xdr:cNvPr id="0" name="Chart 1"/>
        <xdr:cNvGraphicFramePr/>
      </xdr:nvGraphicFramePr>
      <xdr:xfrm>
        <a:off x="211320" y="2771640"/>
        <a:ext cx="4823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11</xdr:row>
      <xdr:rowOff>70200</xdr:rowOff>
    </xdr:from>
    <xdr:to>
      <xdr:col>10</xdr:col>
      <xdr:colOff>876240</xdr:colOff>
      <xdr:row>26</xdr:row>
      <xdr:rowOff>92160</xdr:rowOff>
    </xdr:to>
    <xdr:graphicFrame>
      <xdr:nvGraphicFramePr>
        <xdr:cNvPr id="1" name="Chart 2"/>
        <xdr:cNvGraphicFramePr/>
      </xdr:nvGraphicFramePr>
      <xdr:xfrm>
        <a:off x="5145480" y="2771640"/>
        <a:ext cx="4823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70560</xdr:rowOff>
    </xdr:from>
    <xdr:to>
      <xdr:col>10</xdr:col>
      <xdr:colOff>910080</xdr:colOff>
      <xdr:row>44</xdr:row>
      <xdr:rowOff>81720</xdr:rowOff>
    </xdr:to>
    <xdr:graphicFrame>
      <xdr:nvGraphicFramePr>
        <xdr:cNvPr id="2" name="Chart 3"/>
        <xdr:cNvGraphicFramePr/>
      </xdr:nvGraphicFramePr>
      <xdr:xfrm>
        <a:off x="211320" y="6010200"/>
        <a:ext cx="9791280" cy="30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46</xdr:row>
      <xdr:rowOff>70560</xdr:rowOff>
    </xdr:from>
    <xdr:to>
      <xdr:col>5</xdr:col>
      <xdr:colOff>875880</xdr:colOff>
      <xdr:row>61</xdr:row>
      <xdr:rowOff>92160</xdr:rowOff>
    </xdr:to>
    <xdr:graphicFrame>
      <xdr:nvGraphicFramePr>
        <xdr:cNvPr id="3" name="Chart 4"/>
        <xdr:cNvGraphicFramePr/>
      </xdr:nvGraphicFramePr>
      <xdr:xfrm>
        <a:off x="211320" y="9439200"/>
        <a:ext cx="4823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K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11" min="2" style="1" width="14"/>
  </cols>
  <sheetData>
    <row r="1" customFormat="false" ht="24.45" hidden="false" customHeight="false" outlineLevel="0" collapsed="false">
      <c r="B1" s="2" t="s">
        <v>0</v>
      </c>
    </row>
    <row r="2" customFormat="false" ht="15" hidden="false" customHeight="false" outlineLevel="0" collapsed="false">
      <c r="B2" s="3" t="s">
        <v>1</v>
      </c>
    </row>
    <row r="4" customFormat="false" ht="21.75" hidden="false" customHeight="true" outlineLevel="0" collapsed="false">
      <c r="B4" s="4" t="s">
        <v>2</v>
      </c>
      <c r="C4" s="4"/>
      <c r="D4" s="4" t="s">
        <v>3</v>
      </c>
      <c r="E4" s="4"/>
      <c r="F4" s="4" t="s">
        <v>4</v>
      </c>
      <c r="G4" s="4"/>
      <c r="H4" s="4" t="s">
        <v>5</v>
      </c>
      <c r="I4" s="4"/>
      <c r="J4" s="4" t="s">
        <v>6</v>
      </c>
      <c r="K4" s="4"/>
    </row>
    <row r="5" customFormat="false" ht="18" hidden="false" customHeight="true" outlineLevel="0" collapsed="false">
      <c r="B5" s="5" t="s">
        <v>7</v>
      </c>
      <c r="C5" s="5"/>
      <c r="D5" s="5" t="s">
        <v>8</v>
      </c>
      <c r="E5" s="5"/>
      <c r="F5" s="5" t="s">
        <v>9</v>
      </c>
      <c r="G5" s="5"/>
      <c r="H5" s="5" t="s">
        <v>10</v>
      </c>
      <c r="I5" s="5"/>
      <c r="J5" s="5" t="s">
        <v>11</v>
      </c>
      <c r="K5" s="5"/>
    </row>
    <row r="6" customFormat="false" ht="43.5" hidden="false" customHeight="true" outlineLevel="0" collapsed="false">
      <c r="B6" s="6" t="n">
        <f aca="false">SUM(Monthly!C4:C27)</f>
        <v>13494400.74</v>
      </c>
      <c r="C6" s="6"/>
      <c r="D6" s="6" t="n">
        <f aca="false">SUM(Monthly!B4:B27)</f>
        <v>98199</v>
      </c>
      <c r="E6" s="6"/>
      <c r="F6" s="7" t="n">
        <f aca="false">B6/D6</f>
        <v>137.418922188617</v>
      </c>
      <c r="G6" s="7"/>
      <c r="H6" s="8" t="n">
        <f aca="false">1-State_Delivery!C31/State_Delivery!B31</f>
        <v>0.932269099201824</v>
      </c>
      <c r="I6" s="8"/>
      <c r="J6" s="9" t="n">
        <f aca="false">Review_Scores!B11</f>
        <v>4.08638634682233</v>
      </c>
      <c r="K6" s="9"/>
    </row>
    <row r="8" customFormat="false" ht="15" hidden="false" customHeight="false" outlineLevel="0" collapsed="false">
      <c r="B8" s="10" t="s">
        <v>12</v>
      </c>
      <c r="C8" s="10"/>
      <c r="D8" s="10"/>
      <c r="E8" s="10"/>
      <c r="F8" s="10"/>
      <c r="G8" s="10"/>
      <c r="H8" s="10"/>
      <c r="I8" s="10"/>
      <c r="J8" s="10"/>
      <c r="K8" s="10"/>
    </row>
    <row r="9" customFormat="false" ht="15" hidden="false" customHeight="true" outlineLevel="0" collapsed="false">
      <c r="B9" s="11" t="s">
        <v>13</v>
      </c>
      <c r="C9" s="11"/>
      <c r="D9" s="11"/>
      <c r="E9" s="11"/>
      <c r="F9" s="11"/>
      <c r="G9" s="11"/>
      <c r="H9" s="11"/>
      <c r="I9" s="11"/>
      <c r="J9" s="11"/>
      <c r="K9" s="11"/>
    </row>
    <row r="10" customFormat="false" ht="15" hidden="false" customHeight="false" outlineLevel="0" collapsed="false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customFormat="false" ht="15" hidden="false" customHeight="false" outlineLevel="0" collapsed="false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48" customFormat="false" ht="15" hidden="false" customHeight="false" outlineLevel="0" collapsed="false">
      <c r="G48" s="10" t="s">
        <v>14</v>
      </c>
      <c r="H48" s="10"/>
      <c r="I48" s="10"/>
      <c r="J48" s="10"/>
      <c r="K48" s="10"/>
    </row>
    <row r="49" customFormat="false" ht="15" hidden="false" customHeight="false" outlineLevel="0" collapsed="false">
      <c r="G49" s="12" t="str">
        <f aca="false">"On-time orders average "&amp;TEXT(Review_Impact!C4,"0.00")&amp;" stars."</f>
        <v>On-time orders average 4.29 stars.</v>
      </c>
      <c r="H49" s="12"/>
      <c r="I49" s="12"/>
      <c r="J49" s="12"/>
      <c r="K49" s="12"/>
    </row>
    <row r="50" customFormat="false" ht="15" hidden="false" customHeight="false" outlineLevel="0" collapsed="false">
      <c r="G50" s="12"/>
      <c r="H50" s="12"/>
      <c r="I50" s="12"/>
      <c r="J50" s="12"/>
      <c r="K50" s="12"/>
    </row>
    <row r="51" customFormat="false" ht="15" hidden="false" customHeight="false" outlineLevel="0" collapsed="false">
      <c r="G51" s="12" t="str">
        <f aca="false">"Orders more than 7 days late average "&amp;TEXT(Review_Impact!C7,"0.00")&amp;" stars."</f>
        <v>Orders more than 7 days late average 1.70 stars.</v>
      </c>
      <c r="H51" s="12"/>
      <c r="I51" s="12"/>
      <c r="J51" s="12"/>
      <c r="K51" s="12"/>
    </row>
    <row r="52" customFormat="false" ht="15" hidden="false" customHeight="false" outlineLevel="0" collapsed="false">
      <c r="G52" s="12"/>
      <c r="H52" s="12"/>
      <c r="I52" s="12"/>
      <c r="J52" s="12"/>
      <c r="K52" s="12"/>
    </row>
    <row r="53" customFormat="false" ht="15" hidden="false" customHeight="false" outlineLevel="0" collapsed="false">
      <c r="G53" s="12" t="str">
        <f aca="false">"Late orders are "&amp;TEXT(Review_Impact!C10,"0.0%")&amp;" of reviewed orders."</f>
        <v>Late orders are 6.7% of reviewed orders.</v>
      </c>
      <c r="H53" s="12"/>
      <c r="I53" s="12"/>
      <c r="J53" s="12"/>
      <c r="K53" s="12"/>
    </row>
    <row r="54" customFormat="false" ht="15" hidden="false" customHeight="false" outlineLevel="0" collapsed="false">
      <c r="G54" s="12"/>
      <c r="H54" s="12"/>
      <c r="I54" s="12"/>
      <c r="J54" s="12"/>
      <c r="K54" s="12"/>
    </row>
    <row r="55" customFormat="false" ht="15" hidden="false" customHeight="false" outlineLevel="0" collapsed="false">
      <c r="G55" s="12" t="str">
        <f aca="false">"Worst state for lateness: "&amp;INDEX(State_Delivery!A4:A30,MATCH(MAX(State_Delivery!D4:D30),State_Delivery!D4:D30,0))&amp;" ("&amp;TEXT(MAX(State_Delivery!D4:D30),"0.0%")&amp;" late)."</f>
        <v>Worst state for lateness: AL (21.4% late).</v>
      </c>
      <c r="H55" s="12"/>
      <c r="I55" s="12"/>
      <c r="J55" s="12"/>
      <c r="K55" s="12"/>
    </row>
    <row r="56" customFormat="false" ht="15" hidden="false" customHeight="false" outlineLevel="0" collapsed="false">
      <c r="G56" s="12"/>
      <c r="H56" s="12"/>
      <c r="I56" s="12"/>
      <c r="J56" s="12"/>
      <c r="K56" s="12"/>
    </row>
    <row r="57" customFormat="false" ht="15" hidden="false" customHeight="false" outlineLevel="0" collapsed="false">
      <c r="G57" s="12" t="str">
        <f aca="false">"Top 10 categories = "&amp;TEXT(Categories!F14,"0.0%")&amp;" of revenue."</f>
        <v>Top 10 categories = 62.4% of revenue.</v>
      </c>
      <c r="H57" s="12"/>
      <c r="I57" s="12"/>
      <c r="J57" s="12"/>
      <c r="K57" s="12"/>
    </row>
    <row r="58" customFormat="false" ht="15" hidden="false" customHeight="false" outlineLevel="0" collapsed="false">
      <c r="G58" s="12"/>
      <c r="H58" s="12"/>
      <c r="I58" s="12"/>
      <c r="J58" s="12"/>
      <c r="K58" s="12"/>
    </row>
  </sheetData>
  <mergeCells count="23"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8:K8"/>
    <mergeCell ref="B9:K11"/>
    <mergeCell ref="G48:K48"/>
    <mergeCell ref="G49:K50"/>
    <mergeCell ref="G51:K52"/>
    <mergeCell ref="G53:K54"/>
    <mergeCell ref="G55:K56"/>
    <mergeCell ref="G57:K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5" min="4" style="1" width="20"/>
  </cols>
  <sheetData>
    <row r="1" customFormat="false" ht="15" hidden="false" customHeight="false" outlineLevel="0" collapsed="false">
      <c r="A1" s="13" t="s">
        <v>15</v>
      </c>
    </row>
    <row r="3" customFormat="false" ht="31.5" hidden="false" customHeight="true" outlineLevel="0" collapsed="false">
      <c r="A3" s="14" t="s">
        <v>16</v>
      </c>
      <c r="B3" s="14" t="s">
        <v>17</v>
      </c>
      <c r="C3" s="14" t="s">
        <v>18</v>
      </c>
      <c r="D3" s="14" t="s">
        <v>19</v>
      </c>
      <c r="E3" s="14" t="s">
        <v>20</v>
      </c>
    </row>
    <row r="4" customFormat="false" ht="15" hidden="false" customHeight="false" outlineLevel="0" collapsed="false">
      <c r="A4" s="15" t="s">
        <v>21</v>
      </c>
      <c r="B4" s="16" t="n">
        <v>2</v>
      </c>
      <c r="C4" s="16" t="n">
        <v>207.86</v>
      </c>
      <c r="D4" s="17" t="n">
        <f aca="false">C4/B4</f>
        <v>103.93</v>
      </c>
      <c r="E4" s="18" t="s">
        <v>22</v>
      </c>
    </row>
    <row r="5" customFormat="false" ht="15" hidden="false" customHeight="false" outlineLevel="0" collapsed="false">
      <c r="A5" s="15" t="s">
        <v>23</v>
      </c>
      <c r="B5" s="16" t="n">
        <v>290</v>
      </c>
      <c r="C5" s="16" t="n">
        <v>44507.3</v>
      </c>
      <c r="D5" s="17" t="n">
        <f aca="false">C5/B5</f>
        <v>153.473448275862</v>
      </c>
      <c r="E5" s="18" t="str">
        <f aca="false">IF(B4&gt;=100,C5/C4-1,"n/a")</f>
        <v>n/a</v>
      </c>
    </row>
    <row r="6" customFormat="false" ht="15" hidden="false" customHeight="false" outlineLevel="0" collapsed="false">
      <c r="A6" s="15" t="s">
        <v>24</v>
      </c>
      <c r="B6" s="16" t="n">
        <v>1</v>
      </c>
      <c r="C6" s="16" t="n">
        <v>10.9</v>
      </c>
      <c r="D6" s="17" t="n">
        <f aca="false">C6/B6</f>
        <v>10.9</v>
      </c>
      <c r="E6" s="18" t="n">
        <f aca="false">IF(B5&gt;=100,C6/C5-1,"n/a")</f>
        <v>-0.99975509635498</v>
      </c>
    </row>
    <row r="7" customFormat="false" ht="15" hidden="false" customHeight="false" outlineLevel="0" collapsed="false">
      <c r="A7" s="15" t="s">
        <v>25</v>
      </c>
      <c r="B7" s="16" t="n">
        <v>787</v>
      </c>
      <c r="C7" s="16" t="n">
        <v>120098.27</v>
      </c>
      <c r="D7" s="17" t="n">
        <f aca="false">C7/B7</f>
        <v>152.602630241423</v>
      </c>
      <c r="E7" s="18" t="str">
        <f aca="false">IF(B6&gt;=100,C7/C6-1,"n/a")</f>
        <v>n/a</v>
      </c>
    </row>
    <row r="8" customFormat="false" ht="15" hidden="false" customHeight="false" outlineLevel="0" collapsed="false">
      <c r="A8" s="15" t="s">
        <v>26</v>
      </c>
      <c r="B8" s="16" t="n">
        <v>1718</v>
      </c>
      <c r="C8" s="16" t="n">
        <v>244959.35</v>
      </c>
      <c r="D8" s="17" t="n">
        <f aca="false">C8/B8</f>
        <v>142.584022118743</v>
      </c>
      <c r="E8" s="18" t="n">
        <f aca="false">IF(B7&gt;=100,C8/C7-1,"n/a")</f>
        <v>1.03965760705795</v>
      </c>
    </row>
    <row r="9" customFormat="false" ht="15" hidden="false" customHeight="false" outlineLevel="0" collapsed="false">
      <c r="A9" s="15" t="s">
        <v>27</v>
      </c>
      <c r="B9" s="16" t="n">
        <v>2617</v>
      </c>
      <c r="C9" s="16" t="n">
        <v>368341.32</v>
      </c>
      <c r="D9" s="17" t="n">
        <f aca="false">C9/B9</f>
        <v>140.749453572793</v>
      </c>
      <c r="E9" s="18" t="n">
        <f aca="false">IF(B8&gt;=100,C9/C8-1,"n/a")</f>
        <v>0.503683447886353</v>
      </c>
    </row>
    <row r="10" customFormat="false" ht="15" hidden="false" customHeight="false" outlineLevel="0" collapsed="false">
      <c r="A10" s="15" t="s">
        <v>28</v>
      </c>
      <c r="B10" s="16" t="n">
        <v>2377</v>
      </c>
      <c r="C10" s="16" t="n">
        <v>353842.98</v>
      </c>
      <c r="D10" s="17" t="n">
        <f aca="false">C10/B10</f>
        <v>148.861161127472</v>
      </c>
      <c r="E10" s="18" t="n">
        <f aca="false">IF(B9&gt;=100,C10/C9-1,"n/a")</f>
        <v>-0.0393611555716856</v>
      </c>
    </row>
    <row r="11" customFormat="false" ht="15" hidden="false" customHeight="false" outlineLevel="0" collapsed="false">
      <c r="A11" s="15" t="s">
        <v>29</v>
      </c>
      <c r="B11" s="16" t="n">
        <v>3640</v>
      </c>
      <c r="C11" s="16" t="n">
        <v>503159.19</v>
      </c>
      <c r="D11" s="17" t="n">
        <f aca="false">C11/B11</f>
        <v>138.230546703297</v>
      </c>
      <c r="E11" s="18" t="n">
        <f aca="false">IF(B10&gt;=100,C11/C10-1,"n/a")</f>
        <v>0.421984378494665</v>
      </c>
    </row>
    <row r="12" customFormat="false" ht="15" hidden="false" customHeight="false" outlineLevel="0" collapsed="false">
      <c r="A12" s="15" t="s">
        <v>30</v>
      </c>
      <c r="B12" s="16" t="n">
        <v>3205</v>
      </c>
      <c r="C12" s="16" t="n">
        <v>429916.61</v>
      </c>
      <c r="D12" s="17" t="n">
        <f aca="false">C12/B12</f>
        <v>134.139347893916</v>
      </c>
      <c r="E12" s="18" t="n">
        <f aca="false">IF(B11&gt;=100,C12/C11-1,"n/a")</f>
        <v>-0.145565422346753</v>
      </c>
    </row>
    <row r="13" customFormat="false" ht="15" hidden="false" customHeight="false" outlineLevel="0" collapsed="false">
      <c r="A13" s="15" t="s">
        <v>31</v>
      </c>
      <c r="B13" s="16" t="n">
        <v>3946</v>
      </c>
      <c r="C13" s="16" t="n">
        <v>492287.3</v>
      </c>
      <c r="D13" s="17" t="n">
        <f aca="false">C13/B13</f>
        <v>124.756031424227</v>
      </c>
      <c r="E13" s="18" t="n">
        <f aca="false">IF(B12&gt;=100,C13/C12-1,"n/a")</f>
        <v>0.145076250950155</v>
      </c>
    </row>
    <row r="14" customFormat="false" ht="15" hidden="false" customHeight="false" outlineLevel="0" collapsed="false">
      <c r="A14" s="15" t="s">
        <v>32</v>
      </c>
      <c r="B14" s="16" t="n">
        <v>4272</v>
      </c>
      <c r="C14" s="16" t="n">
        <v>568245.79</v>
      </c>
      <c r="D14" s="17" t="n">
        <f aca="false">C14/B14</f>
        <v>133.016336610487</v>
      </c>
      <c r="E14" s="18" t="n">
        <f aca="false">IF(B13&gt;=100,C14/C13-1,"n/a")</f>
        <v>0.154297074086616</v>
      </c>
    </row>
    <row r="15" customFormat="false" ht="15" hidden="false" customHeight="false" outlineLevel="0" collapsed="false">
      <c r="A15" s="15" t="s">
        <v>33</v>
      </c>
      <c r="B15" s="16" t="n">
        <v>4227</v>
      </c>
      <c r="C15" s="16" t="n">
        <v>621415.91</v>
      </c>
      <c r="D15" s="17" t="n">
        <f aca="false">C15/B15</f>
        <v>147.011097705228</v>
      </c>
      <c r="E15" s="18" t="n">
        <f aca="false">IF(B14&gt;=100,C15/C14-1,"n/a")</f>
        <v>0.0935688762427962</v>
      </c>
    </row>
    <row r="16" customFormat="false" ht="15" hidden="false" customHeight="false" outlineLevel="0" collapsed="false">
      <c r="A16" s="15" t="s">
        <v>34</v>
      </c>
      <c r="B16" s="16" t="n">
        <v>4547</v>
      </c>
      <c r="C16" s="16" t="n">
        <v>660179.62</v>
      </c>
      <c r="D16" s="17" t="n">
        <f aca="false">C16/B16</f>
        <v>145.190151748406</v>
      </c>
      <c r="E16" s="18" t="n">
        <f aca="false">IF(B15&gt;=100,C16/C15-1,"n/a")</f>
        <v>0.0623796548755888</v>
      </c>
    </row>
    <row r="17" customFormat="false" ht="15" hidden="false" customHeight="false" outlineLevel="0" collapsed="false">
      <c r="A17" s="15" t="s">
        <v>35</v>
      </c>
      <c r="B17" s="16" t="n">
        <v>7421</v>
      </c>
      <c r="C17" s="16" t="n">
        <v>1003862.14</v>
      </c>
      <c r="D17" s="17" t="n">
        <f aca="false">C17/B17</f>
        <v>135.273162646544</v>
      </c>
      <c r="E17" s="18" t="n">
        <f aca="false">IF(B16&gt;=100,C17/C16-1,"n/a")</f>
        <v>0.520589411711922</v>
      </c>
    </row>
    <row r="18" customFormat="false" ht="15" hidden="false" customHeight="false" outlineLevel="0" collapsed="false">
      <c r="A18" s="15" t="s">
        <v>36</v>
      </c>
      <c r="B18" s="16" t="n">
        <v>5618</v>
      </c>
      <c r="C18" s="16" t="n">
        <v>742183.79</v>
      </c>
      <c r="D18" s="17" t="n">
        <f aca="false">C18/B18</f>
        <v>132.108186187255</v>
      </c>
      <c r="E18" s="18" t="n">
        <f aca="false">IF(B17&gt;=100,C18/C17-1,"n/a")</f>
        <v>-0.260671599787596</v>
      </c>
    </row>
    <row r="19" customFormat="false" ht="15" hidden="false" customHeight="false" outlineLevel="0" collapsed="false">
      <c r="A19" s="15" t="s">
        <v>37</v>
      </c>
      <c r="B19" s="16" t="n">
        <v>7187</v>
      </c>
      <c r="C19" s="16" t="n">
        <v>945456.29</v>
      </c>
      <c r="D19" s="17" t="n">
        <f aca="false">C19/B19</f>
        <v>131.550896062335</v>
      </c>
      <c r="E19" s="18" t="n">
        <f aca="false">IF(B18&gt;=100,C19/C18-1,"n/a")</f>
        <v>0.273884316444044</v>
      </c>
    </row>
    <row r="20" customFormat="false" ht="15" hidden="false" customHeight="false" outlineLevel="0" collapsed="false">
      <c r="A20" s="15" t="s">
        <v>38</v>
      </c>
      <c r="B20" s="16" t="n">
        <v>6624</v>
      </c>
      <c r="C20" s="16" t="n">
        <v>837895.43</v>
      </c>
      <c r="D20" s="17" t="n">
        <f aca="false">C20/B20</f>
        <v>126.493875301932</v>
      </c>
      <c r="E20" s="18" t="n">
        <f aca="false">IF(B19&gt;=100,C20/C19-1,"n/a")</f>
        <v>-0.113766084310466</v>
      </c>
    </row>
    <row r="21" customFormat="false" ht="15" hidden="false" customHeight="false" outlineLevel="0" collapsed="false">
      <c r="A21" s="15" t="s">
        <v>39</v>
      </c>
      <c r="B21" s="16" t="n">
        <v>7168</v>
      </c>
      <c r="C21" s="16" t="n">
        <v>981051.06</v>
      </c>
      <c r="D21" s="17" t="n">
        <f aca="false">C21/B21</f>
        <v>136.865382254464</v>
      </c>
      <c r="E21" s="18" t="n">
        <f aca="false">IF(B20&gt;=100,C21/C20-1,"n/a")</f>
        <v>0.170851427128562</v>
      </c>
    </row>
    <row r="22" customFormat="false" ht="15" hidden="false" customHeight="false" outlineLevel="0" collapsed="false">
      <c r="A22" s="15" t="s">
        <v>40</v>
      </c>
      <c r="B22" s="16" t="n">
        <v>6919</v>
      </c>
      <c r="C22" s="16" t="n">
        <v>993592.98</v>
      </c>
      <c r="D22" s="17" t="n">
        <f aca="false">C22/B22</f>
        <v>143.603552536494</v>
      </c>
      <c r="E22" s="18" t="n">
        <f aca="false">IF(B21&gt;=100,C22/C21-1,"n/a")</f>
        <v>0.0127841664021033</v>
      </c>
    </row>
    <row r="23" customFormat="false" ht="15" hidden="false" customHeight="false" outlineLevel="0" collapsed="false">
      <c r="A23" s="15" t="s">
        <v>41</v>
      </c>
      <c r="B23" s="16" t="n">
        <v>6833</v>
      </c>
      <c r="C23" s="16" t="n">
        <v>992871.75</v>
      </c>
      <c r="D23" s="17" t="n">
        <f aca="false">C23/B23</f>
        <v>145.305392945997</v>
      </c>
      <c r="E23" s="18" t="n">
        <f aca="false">IF(B22&gt;=100,C23/C22-1,"n/a")</f>
        <v>-0.000725880732369899</v>
      </c>
    </row>
    <row r="24" customFormat="false" ht="15" hidden="false" customHeight="false" outlineLevel="0" collapsed="false">
      <c r="A24" s="15" t="s">
        <v>42</v>
      </c>
      <c r="B24" s="16" t="n">
        <v>6145</v>
      </c>
      <c r="C24" s="16" t="n">
        <v>863265.53</v>
      </c>
      <c r="D24" s="17" t="n">
        <f aca="false">C24/B24</f>
        <v>140.482592351505</v>
      </c>
      <c r="E24" s="18" t="n">
        <f aca="false">IF(B23&gt;=100,C24/C23-1,"n/a")</f>
        <v>-0.130536718362669</v>
      </c>
    </row>
    <row r="25" customFormat="false" ht="15" hidden="false" customHeight="false" outlineLevel="0" collapsed="false">
      <c r="A25" s="15" t="s">
        <v>43</v>
      </c>
      <c r="B25" s="16" t="n">
        <v>6233</v>
      </c>
      <c r="C25" s="16" t="n">
        <v>878044.27</v>
      </c>
      <c r="D25" s="17" t="n">
        <f aca="false">C25/B25</f>
        <v>140.870250280764</v>
      </c>
      <c r="E25" s="18" t="n">
        <f aca="false">IF(B24&gt;=100,C25/C24-1,"n/a")</f>
        <v>0.0171195761748995</v>
      </c>
    </row>
    <row r="26" customFormat="false" ht="15" hidden="false" customHeight="false" outlineLevel="0" collapsed="false">
      <c r="A26" s="15" t="s">
        <v>44</v>
      </c>
      <c r="B26" s="16" t="n">
        <v>6421</v>
      </c>
      <c r="C26" s="16" t="n">
        <v>848860.1</v>
      </c>
      <c r="D26" s="17" t="n">
        <f aca="false">C26/B26</f>
        <v>132.200607382028</v>
      </c>
      <c r="E26" s="18" t="n">
        <f aca="false">IF(B25&gt;=100,C26/C25-1,"n/a")</f>
        <v>-0.033237697684651</v>
      </c>
    </row>
    <row r="27" customFormat="false" ht="15" hidden="false" customHeight="false" outlineLevel="0" collapsed="false">
      <c r="A27" s="15" t="s">
        <v>45</v>
      </c>
      <c r="B27" s="16" t="n">
        <v>1</v>
      </c>
      <c r="C27" s="16" t="n">
        <v>145</v>
      </c>
      <c r="D27" s="17" t="n">
        <f aca="false">C27/B27</f>
        <v>145</v>
      </c>
      <c r="E27" s="18" t="n">
        <f aca="false">IF(B26&gt;=100,C27/C26-1,"n/a")</f>
        <v>-0.999829182688643</v>
      </c>
    </row>
    <row r="28" customFormat="false" ht="15" hidden="false" customHeight="false" outlineLevel="0" collapsed="false">
      <c r="A28" s="19" t="s">
        <v>46</v>
      </c>
      <c r="B28" s="20" t="n">
        <f aca="false">SUM(B4:B27)</f>
        <v>98199</v>
      </c>
      <c r="C28" s="20" t="n">
        <f aca="false">SUM(C4:C27)</f>
        <v>13494400.74</v>
      </c>
      <c r="D28" s="21" t="n">
        <f aca="false">C28/B28</f>
        <v>137.418922188617</v>
      </c>
    </row>
    <row r="30" customFormat="false" ht="15" hidden="false" customHeight="false" outlineLevel="0" collapsed="false">
      <c r="A30" s="2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15" hidden="false" customHeight="false" outlineLevel="0" collapsed="false">
      <c r="A1" s="13" t="s">
        <v>48</v>
      </c>
    </row>
    <row r="3" customFormat="false" ht="31.5" hidden="false" customHeight="true" outlineLevel="0" collapsed="false">
      <c r="A3" s="14" t="s">
        <v>49</v>
      </c>
      <c r="B3" s="14" t="s">
        <v>50</v>
      </c>
      <c r="C3" s="14" t="s">
        <v>17</v>
      </c>
      <c r="D3" s="14" t="s">
        <v>51</v>
      </c>
      <c r="E3" s="14" t="s">
        <v>18</v>
      </c>
      <c r="F3" s="14" t="s">
        <v>52</v>
      </c>
    </row>
    <row r="4" customFormat="false" ht="15" hidden="false" customHeight="false" outlineLevel="0" collapsed="false">
      <c r="A4" s="15" t="n">
        <v>1</v>
      </c>
      <c r="B4" s="15" t="s">
        <v>53</v>
      </c>
      <c r="C4" s="16" t="n">
        <v>8800</v>
      </c>
      <c r="D4" s="16" t="n">
        <v>9634</v>
      </c>
      <c r="E4" s="16" t="n">
        <v>1255695.13</v>
      </c>
      <c r="F4" s="23" t="n">
        <f aca="false">E4/Summary!$B$6</f>
        <v>0.0930530487565763</v>
      </c>
    </row>
    <row r="5" customFormat="false" ht="15" hidden="false" customHeight="false" outlineLevel="0" collapsed="false">
      <c r="A5" s="15" t="n">
        <v>2</v>
      </c>
      <c r="B5" s="15" t="s">
        <v>54</v>
      </c>
      <c r="C5" s="16" t="n">
        <v>5604</v>
      </c>
      <c r="D5" s="16" t="n">
        <v>5970</v>
      </c>
      <c r="E5" s="16" t="n">
        <v>1198185.21</v>
      </c>
      <c r="F5" s="23" t="n">
        <f aca="false">E5/Summary!$B$6</f>
        <v>0.0887912870742269</v>
      </c>
    </row>
    <row r="6" customFormat="false" ht="15" hidden="false" customHeight="false" outlineLevel="0" collapsed="false">
      <c r="A6" s="15" t="n">
        <v>3</v>
      </c>
      <c r="B6" s="15" t="s">
        <v>55</v>
      </c>
      <c r="C6" s="16" t="n">
        <v>9399</v>
      </c>
      <c r="D6" s="16" t="n">
        <v>11097</v>
      </c>
      <c r="E6" s="16" t="n">
        <v>1035964.06</v>
      </c>
      <c r="F6" s="23" t="n">
        <f aca="false">E6/Summary!$B$6</f>
        <v>0.0767699196103761</v>
      </c>
    </row>
    <row r="7" customFormat="false" ht="15" hidden="false" customHeight="false" outlineLevel="0" collapsed="false">
      <c r="A7" s="15" t="n">
        <v>4</v>
      </c>
      <c r="B7" s="15" t="s">
        <v>56</v>
      </c>
      <c r="C7" s="16" t="n">
        <v>7673</v>
      </c>
      <c r="D7" s="16" t="n">
        <v>8590</v>
      </c>
      <c r="E7" s="16" t="n">
        <v>979740.92</v>
      </c>
      <c r="F7" s="23" t="n">
        <f aca="false">E7/Summary!$B$6</f>
        <v>0.0726035145151618</v>
      </c>
    </row>
    <row r="8" customFormat="false" ht="15" hidden="false" customHeight="false" outlineLevel="0" collapsed="false">
      <c r="A8" s="15" t="n">
        <v>5</v>
      </c>
      <c r="B8" s="15" t="s">
        <v>57</v>
      </c>
      <c r="C8" s="16" t="n">
        <v>6654</v>
      </c>
      <c r="D8" s="16" t="n">
        <v>7781</v>
      </c>
      <c r="E8" s="16" t="n">
        <v>904322.02</v>
      </c>
      <c r="F8" s="23" t="n">
        <f aca="false">E8/Summary!$B$6</f>
        <v>0.0670146112764693</v>
      </c>
    </row>
    <row r="9" customFormat="false" ht="15" hidden="false" customHeight="false" outlineLevel="0" collapsed="false">
      <c r="A9" s="15" t="n">
        <v>6</v>
      </c>
      <c r="B9" s="15" t="s">
        <v>58</v>
      </c>
      <c r="C9" s="16" t="n">
        <v>6425</v>
      </c>
      <c r="D9" s="16" t="n">
        <v>8298</v>
      </c>
      <c r="E9" s="16" t="n">
        <v>727465.05</v>
      </c>
      <c r="F9" s="23" t="n">
        <f aca="false">E9/Summary!$B$6</f>
        <v>0.0539086591554713</v>
      </c>
    </row>
    <row r="10" customFormat="false" ht="15" hidden="false" customHeight="false" outlineLevel="0" collapsed="false">
      <c r="A10" s="15" t="n">
        <v>7</v>
      </c>
      <c r="B10" s="15" t="s">
        <v>59</v>
      </c>
      <c r="C10" s="16" t="n">
        <v>5847</v>
      </c>
      <c r="D10" s="16" t="n">
        <v>6915</v>
      </c>
      <c r="E10" s="16" t="n">
        <v>626825.8</v>
      </c>
      <c r="F10" s="23" t="n">
        <f aca="false">E10/Summary!$B$6</f>
        <v>0.0464508066773182</v>
      </c>
    </row>
    <row r="11" customFormat="false" ht="15" hidden="false" customHeight="false" outlineLevel="0" collapsed="false">
      <c r="A11" s="15" t="n">
        <v>8</v>
      </c>
      <c r="B11" s="15" t="s">
        <v>60</v>
      </c>
      <c r="C11" s="16" t="n">
        <v>3616</v>
      </c>
      <c r="D11" s="16" t="n">
        <v>3779</v>
      </c>
      <c r="E11" s="16" t="n">
        <v>620770.49</v>
      </c>
      <c r="F11" s="23" t="n">
        <f aca="false">E11/Summary!$B$6</f>
        <v>0.0460020790815791</v>
      </c>
    </row>
    <row r="12" customFormat="false" ht="15" hidden="false" customHeight="false" outlineLevel="0" collapsed="false">
      <c r="A12" s="15" t="n">
        <v>9</v>
      </c>
      <c r="B12" s="15" t="s">
        <v>61</v>
      </c>
      <c r="C12" s="16" t="n">
        <v>3872</v>
      </c>
      <c r="D12" s="16" t="n">
        <v>4204</v>
      </c>
      <c r="E12" s="16" t="n">
        <v>586585.73</v>
      </c>
      <c r="F12" s="23" t="n">
        <f aca="false">E12/Summary!$B$6</f>
        <v>0.0434688239442339</v>
      </c>
    </row>
    <row r="13" customFormat="false" ht="15" hidden="false" customHeight="false" outlineLevel="0" collapsed="false">
      <c r="A13" s="15" t="n">
        <v>10</v>
      </c>
      <c r="B13" s="15" t="s">
        <v>62</v>
      </c>
      <c r="C13" s="16" t="n">
        <v>3505</v>
      </c>
      <c r="D13" s="16" t="n">
        <v>4328</v>
      </c>
      <c r="E13" s="16" t="n">
        <v>481009.94</v>
      </c>
      <c r="F13" s="23" t="n">
        <f aca="false">E13/Summary!$B$6</f>
        <v>0.0356451501083849</v>
      </c>
    </row>
    <row r="14" customFormat="false" ht="15" hidden="false" customHeight="false" outlineLevel="0" collapsed="false">
      <c r="A14" s="19" t="s">
        <v>63</v>
      </c>
      <c r="E14" s="20" t="n">
        <f aca="false">SUM(E4:E13)</f>
        <v>8416564.35</v>
      </c>
      <c r="F14" s="24" t="n">
        <f aca="false">SUM(F4:F13)</f>
        <v>0.623707900199798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15" hidden="false" customHeight="false" outlineLevel="0" collapsed="false">
      <c r="A1" s="13" t="s">
        <v>64</v>
      </c>
    </row>
    <row r="3" customFormat="false" ht="31.5" hidden="false" customHeight="true" outlineLevel="0" collapsed="false">
      <c r="A3" s="14" t="s">
        <v>65</v>
      </c>
      <c r="B3" s="14" t="s">
        <v>66</v>
      </c>
      <c r="C3" s="14" t="s">
        <v>67</v>
      </c>
      <c r="D3" s="14" t="s">
        <v>68</v>
      </c>
      <c r="E3" s="14" t="s">
        <v>69</v>
      </c>
      <c r="F3" s="14" t="s">
        <v>70</v>
      </c>
      <c r="G3" s="14" t="s">
        <v>71</v>
      </c>
    </row>
    <row r="4" customFormat="false" ht="15" hidden="false" customHeight="false" outlineLevel="0" collapsed="false">
      <c r="A4" s="15" t="s">
        <v>72</v>
      </c>
      <c r="B4" s="16" t="n">
        <v>397</v>
      </c>
      <c r="C4" s="16" t="n">
        <v>85</v>
      </c>
      <c r="D4" s="23" t="n">
        <f aca="false">C4/B4</f>
        <v>0.214105793450882</v>
      </c>
      <c r="E4" s="25" t="n">
        <v>24.5</v>
      </c>
      <c r="F4" s="25" t="n">
        <v>32.6</v>
      </c>
      <c r="G4" s="26" t="n">
        <f aca="false">F4-E4</f>
        <v>8.1</v>
      </c>
    </row>
    <row r="5" customFormat="false" ht="15" hidden="false" customHeight="false" outlineLevel="0" collapsed="false">
      <c r="A5" s="15" t="s">
        <v>73</v>
      </c>
      <c r="B5" s="16" t="n">
        <v>717</v>
      </c>
      <c r="C5" s="16" t="n">
        <v>125</v>
      </c>
      <c r="D5" s="23" t="n">
        <f aca="false">C5/B5</f>
        <v>0.174337517433752</v>
      </c>
      <c r="E5" s="25" t="n">
        <v>21.6</v>
      </c>
      <c r="F5" s="25" t="n">
        <v>30.5</v>
      </c>
      <c r="G5" s="26" t="n">
        <f aca="false">F5-E5</f>
        <v>8.9</v>
      </c>
    </row>
    <row r="6" customFormat="false" ht="15" hidden="false" customHeight="false" outlineLevel="0" collapsed="false">
      <c r="A6" s="15" t="s">
        <v>74</v>
      </c>
      <c r="B6" s="16" t="n">
        <v>335</v>
      </c>
      <c r="C6" s="16" t="n">
        <v>51</v>
      </c>
      <c r="D6" s="23" t="n">
        <f aca="false">C6/B6</f>
        <v>0.152238805970149</v>
      </c>
      <c r="E6" s="25" t="n">
        <v>21.5</v>
      </c>
      <c r="F6" s="25" t="n">
        <v>30.8</v>
      </c>
      <c r="G6" s="26" t="n">
        <f aca="false">F6-E6</f>
        <v>9.3</v>
      </c>
    </row>
    <row r="7" customFormat="false" ht="15" hidden="false" customHeight="false" outlineLevel="0" collapsed="false">
      <c r="A7" s="15" t="s">
        <v>75</v>
      </c>
      <c r="B7" s="16" t="n">
        <v>476</v>
      </c>
      <c r="C7" s="16" t="n">
        <v>66</v>
      </c>
      <c r="D7" s="23" t="n">
        <f aca="false">C7/B7</f>
        <v>0.138655462184874</v>
      </c>
      <c r="E7" s="25" t="n">
        <v>19.5</v>
      </c>
      <c r="F7" s="25" t="n">
        <v>30.1</v>
      </c>
      <c r="G7" s="26" t="n">
        <f aca="false">F7-E7</f>
        <v>10.6</v>
      </c>
    </row>
    <row r="8" customFormat="false" ht="15" hidden="false" customHeight="false" outlineLevel="0" collapsed="false">
      <c r="A8" s="15" t="s">
        <v>76</v>
      </c>
      <c r="B8" s="16" t="n">
        <v>1279</v>
      </c>
      <c r="C8" s="16" t="n">
        <v>176</v>
      </c>
      <c r="D8" s="23" t="n">
        <f aca="false">C8/B8</f>
        <v>0.137607505863956</v>
      </c>
      <c r="E8" s="25" t="n">
        <v>21.3</v>
      </c>
      <c r="F8" s="25" t="n">
        <v>31.4</v>
      </c>
      <c r="G8" s="26" t="n">
        <f aca="false">F8-E8</f>
        <v>10.1</v>
      </c>
    </row>
    <row r="9" customFormat="false" ht="15" hidden="false" customHeight="false" outlineLevel="0" collapsed="false">
      <c r="A9" s="15" t="s">
        <v>77</v>
      </c>
      <c r="B9" s="16" t="n">
        <v>41</v>
      </c>
      <c r="C9" s="16" t="n">
        <v>5</v>
      </c>
      <c r="D9" s="23" t="n">
        <f aca="false">C9/B9</f>
        <v>0.121951219512195</v>
      </c>
      <c r="E9" s="25" t="n">
        <v>29.4</v>
      </c>
      <c r="F9" s="25" t="n">
        <v>46</v>
      </c>
      <c r="G9" s="26" t="n">
        <f aca="false">F9-E9</f>
        <v>16.6</v>
      </c>
    </row>
    <row r="10" customFormat="false" ht="15" hidden="false" customHeight="false" outlineLevel="0" collapsed="false">
      <c r="A10" s="15" t="s">
        <v>78</v>
      </c>
      <c r="B10" s="16" t="n">
        <v>3256</v>
      </c>
      <c r="C10" s="16" t="n">
        <v>396</v>
      </c>
      <c r="D10" s="23" t="n">
        <f aca="false">C10/B10</f>
        <v>0.121621621621622</v>
      </c>
      <c r="E10" s="25" t="n">
        <v>19.3</v>
      </c>
      <c r="F10" s="25" t="n">
        <v>29.4</v>
      </c>
      <c r="G10" s="26" t="n">
        <f aca="false">F10-E10</f>
        <v>10.1</v>
      </c>
    </row>
    <row r="11" customFormat="false" ht="15" hidden="false" customHeight="false" outlineLevel="0" collapsed="false">
      <c r="A11" s="15" t="s">
        <v>79</v>
      </c>
      <c r="B11" s="16" t="n">
        <v>12350</v>
      </c>
      <c r="C11" s="16" t="n">
        <v>1495</v>
      </c>
      <c r="D11" s="23" t="n">
        <f aca="false">C11/B11</f>
        <v>0.121052631578947</v>
      </c>
      <c r="E11" s="25" t="n">
        <v>15.3</v>
      </c>
      <c r="F11" s="25" t="n">
        <v>26.4</v>
      </c>
      <c r="G11" s="26" t="n">
        <f aca="false">F11-E11</f>
        <v>11.1</v>
      </c>
    </row>
    <row r="12" customFormat="false" ht="15" hidden="false" customHeight="false" outlineLevel="0" collapsed="false">
      <c r="A12" s="15" t="s">
        <v>80</v>
      </c>
      <c r="B12" s="16" t="n">
        <v>946</v>
      </c>
      <c r="C12" s="16" t="n">
        <v>106</v>
      </c>
      <c r="D12" s="23" t="n">
        <f aca="false">C12/B12</f>
        <v>0.112050739957717</v>
      </c>
      <c r="E12" s="25" t="n">
        <v>23.8</v>
      </c>
      <c r="F12" s="25" t="n">
        <v>37.2</v>
      </c>
      <c r="G12" s="26" t="n">
        <f aca="false">F12-E12</f>
        <v>13.4</v>
      </c>
    </row>
    <row r="13" customFormat="false" ht="15" hidden="false" customHeight="false" outlineLevel="0" collapsed="false">
      <c r="A13" s="15" t="s">
        <v>81</v>
      </c>
      <c r="B13" s="16" t="n">
        <v>1995</v>
      </c>
      <c r="C13" s="16" t="n">
        <v>214</v>
      </c>
      <c r="D13" s="23" t="n">
        <f aca="false">C13/B13</f>
        <v>0.107268170426065</v>
      </c>
      <c r="E13" s="25" t="n">
        <v>15.8</v>
      </c>
      <c r="F13" s="25" t="n">
        <v>25.6</v>
      </c>
      <c r="G13" s="26" t="n">
        <f aca="false">F13-E13</f>
        <v>9.8</v>
      </c>
    </row>
    <row r="14" customFormat="false" ht="15" hidden="false" customHeight="false" outlineLevel="0" collapsed="false">
      <c r="A14" s="15" t="s">
        <v>82</v>
      </c>
      <c r="B14" s="16" t="n">
        <v>517</v>
      </c>
      <c r="C14" s="16" t="n">
        <v>54</v>
      </c>
      <c r="D14" s="23" t="n">
        <f aca="false">C14/B14</f>
        <v>0.104448742746615</v>
      </c>
      <c r="E14" s="25" t="n">
        <v>20.4</v>
      </c>
      <c r="F14" s="25" t="n">
        <v>33</v>
      </c>
      <c r="G14" s="26" t="n">
        <f aca="false">F14-E14</f>
        <v>12.6</v>
      </c>
    </row>
    <row r="15" customFormat="false" ht="15" hidden="false" customHeight="false" outlineLevel="0" collapsed="false">
      <c r="A15" s="15" t="s">
        <v>83</v>
      </c>
      <c r="B15" s="16" t="n">
        <v>274</v>
      </c>
      <c r="C15" s="16" t="n">
        <v>27</v>
      </c>
      <c r="D15" s="23" t="n">
        <f aca="false">C15/B15</f>
        <v>0.0985401459854015</v>
      </c>
      <c r="E15" s="25" t="n">
        <v>17.7</v>
      </c>
      <c r="F15" s="25" t="n">
        <v>29.1</v>
      </c>
      <c r="G15" s="26" t="n">
        <f aca="false">F15-E15</f>
        <v>11.4</v>
      </c>
    </row>
    <row r="16" customFormat="false" ht="15" hidden="false" customHeight="false" outlineLevel="0" collapsed="false">
      <c r="A16" s="15" t="s">
        <v>84</v>
      </c>
      <c r="B16" s="16" t="n">
        <v>701</v>
      </c>
      <c r="C16" s="16" t="n">
        <v>68</v>
      </c>
      <c r="D16" s="23" t="n">
        <f aca="false">C16/B16</f>
        <v>0.0970042796005706</v>
      </c>
      <c r="E16" s="25" t="n">
        <v>15.6</v>
      </c>
      <c r="F16" s="25" t="n">
        <v>26</v>
      </c>
      <c r="G16" s="26" t="n">
        <f aca="false">F16-E16</f>
        <v>10.4</v>
      </c>
    </row>
    <row r="17" customFormat="false" ht="15" hidden="false" customHeight="false" outlineLevel="0" collapsed="false">
      <c r="A17" s="15" t="s">
        <v>85</v>
      </c>
      <c r="B17" s="16" t="n">
        <v>1593</v>
      </c>
      <c r="C17" s="16" t="n">
        <v>153</v>
      </c>
      <c r="D17" s="23" t="n">
        <f aca="false">C17/B17</f>
        <v>0.096045197740113</v>
      </c>
      <c r="E17" s="25" t="n">
        <v>18.4</v>
      </c>
      <c r="F17" s="25" t="n">
        <v>31.1</v>
      </c>
      <c r="G17" s="26" t="n">
        <f aca="false">F17-E17</f>
        <v>12.7</v>
      </c>
    </row>
    <row r="18" customFormat="false" ht="15" hidden="false" customHeight="false" outlineLevel="0" collapsed="false">
      <c r="A18" s="15" t="s">
        <v>86</v>
      </c>
      <c r="B18" s="16" t="n">
        <v>474</v>
      </c>
      <c r="C18" s="16" t="n">
        <v>44</v>
      </c>
      <c r="D18" s="23" t="n">
        <f aca="false">C18/B18</f>
        <v>0.0928270042194093</v>
      </c>
      <c r="E18" s="25" t="n">
        <v>19.3</v>
      </c>
      <c r="F18" s="25" t="n">
        <v>32.2</v>
      </c>
      <c r="G18" s="26" t="n">
        <f aca="false">F18-E18</f>
        <v>12.9</v>
      </c>
    </row>
    <row r="19" customFormat="false" ht="15" hidden="false" customHeight="false" outlineLevel="0" collapsed="false">
      <c r="A19" s="15" t="s">
        <v>87</v>
      </c>
      <c r="B19" s="16" t="n">
        <v>3546</v>
      </c>
      <c r="C19" s="16" t="n">
        <v>291</v>
      </c>
      <c r="D19" s="23" t="n">
        <f aca="false">C19/B19</f>
        <v>0.0820642978003384</v>
      </c>
      <c r="E19" s="25" t="n">
        <v>15</v>
      </c>
      <c r="F19" s="25" t="n">
        <v>25.8</v>
      </c>
      <c r="G19" s="26" t="n">
        <f aca="false">F19-E19</f>
        <v>10.8</v>
      </c>
    </row>
    <row r="20" customFormat="false" ht="15" hidden="false" customHeight="false" outlineLevel="0" collapsed="false">
      <c r="A20" s="15" t="s">
        <v>88</v>
      </c>
      <c r="B20" s="16" t="n">
        <v>1957</v>
      </c>
      <c r="C20" s="16" t="n">
        <v>128</v>
      </c>
      <c r="D20" s="23" t="n">
        <f aca="false">C20/B20</f>
        <v>0.0654062340316812</v>
      </c>
      <c r="E20" s="25" t="n">
        <v>15.6</v>
      </c>
      <c r="F20" s="25" t="n">
        <v>27.1</v>
      </c>
      <c r="G20" s="26" t="n">
        <f aca="false">F20-E20</f>
        <v>11.5</v>
      </c>
    </row>
    <row r="21" customFormat="false" ht="15" hidden="false" customHeight="false" outlineLevel="0" collapsed="false">
      <c r="A21" s="15" t="s">
        <v>89</v>
      </c>
      <c r="B21" s="16" t="n">
        <v>5344</v>
      </c>
      <c r="C21" s="16" t="n">
        <v>325</v>
      </c>
      <c r="D21" s="23" t="n">
        <f aca="false">C21/B21</f>
        <v>0.0608158682634731</v>
      </c>
      <c r="E21" s="25" t="n">
        <v>15.3</v>
      </c>
      <c r="F21" s="25" t="n">
        <v>28.5</v>
      </c>
      <c r="G21" s="26" t="n">
        <f aca="false">F21-E21</f>
        <v>13.2</v>
      </c>
    </row>
    <row r="22" customFormat="false" ht="15" hidden="false" customHeight="false" outlineLevel="0" collapsed="false">
      <c r="A22" s="15" t="s">
        <v>90</v>
      </c>
      <c r="B22" s="16" t="n">
        <v>886</v>
      </c>
      <c r="C22" s="16" t="n">
        <v>53</v>
      </c>
      <c r="D22" s="23" t="n">
        <f aca="false">C22/B22</f>
        <v>0.0598194130925508</v>
      </c>
      <c r="E22" s="25" t="n">
        <v>18.1</v>
      </c>
      <c r="F22" s="25" t="n">
        <v>31.7</v>
      </c>
      <c r="G22" s="26" t="n">
        <f aca="false">F22-E22</f>
        <v>13.6</v>
      </c>
    </row>
    <row r="23" customFormat="false" ht="15" hidden="false" customHeight="false" outlineLevel="0" collapsed="false">
      <c r="A23" s="15" t="s">
        <v>91</v>
      </c>
      <c r="B23" s="16" t="n">
        <v>2080</v>
      </c>
      <c r="C23" s="16" t="n">
        <v>118</v>
      </c>
      <c r="D23" s="23" t="n">
        <f aca="false">C23/B23</f>
        <v>0.0567307692307692</v>
      </c>
      <c r="E23" s="25" t="n">
        <v>13</v>
      </c>
      <c r="F23" s="25" t="n">
        <v>24.3</v>
      </c>
      <c r="G23" s="26" t="n">
        <f aca="false">F23-E23</f>
        <v>11.3</v>
      </c>
    </row>
    <row r="24" customFormat="false" ht="15" hidden="false" customHeight="false" outlineLevel="0" collapsed="false">
      <c r="A24" s="15" t="s">
        <v>92</v>
      </c>
      <c r="B24" s="16" t="n">
        <v>11354</v>
      </c>
      <c r="C24" s="16" t="n">
        <v>519</v>
      </c>
      <c r="D24" s="23" t="n">
        <f aca="false">C24/B24</f>
        <v>0.0457107627267923</v>
      </c>
      <c r="E24" s="25" t="n">
        <v>12</v>
      </c>
      <c r="F24" s="25" t="n">
        <v>24.5</v>
      </c>
      <c r="G24" s="26" t="n">
        <f aca="false">F24-E24</f>
        <v>12.5</v>
      </c>
    </row>
    <row r="25" customFormat="false" ht="15" hidden="false" customHeight="false" outlineLevel="0" collapsed="false">
      <c r="A25" s="15" t="s">
        <v>93</v>
      </c>
      <c r="B25" s="16" t="n">
        <v>40494</v>
      </c>
      <c r="C25" s="16" t="n">
        <v>1820</v>
      </c>
      <c r="D25" s="23" t="n">
        <f aca="false">C25/B25</f>
        <v>0.0449449301131032</v>
      </c>
      <c r="E25" s="25" t="n">
        <v>8.8</v>
      </c>
      <c r="F25" s="25" t="n">
        <v>19.1</v>
      </c>
      <c r="G25" s="26" t="n">
        <f aca="false">F25-E25</f>
        <v>10.3</v>
      </c>
    </row>
    <row r="26" customFormat="false" ht="15" hidden="false" customHeight="false" outlineLevel="0" collapsed="false">
      <c r="A26" s="15" t="s">
        <v>94</v>
      </c>
      <c r="B26" s="16" t="n">
        <v>4923</v>
      </c>
      <c r="C26" s="16" t="n">
        <v>199</v>
      </c>
      <c r="D26" s="23" t="n">
        <f aca="false">C26/B26</f>
        <v>0.0404225066016657</v>
      </c>
      <c r="E26" s="25" t="n">
        <v>12</v>
      </c>
      <c r="F26" s="25" t="n">
        <v>24.6</v>
      </c>
      <c r="G26" s="26" t="n">
        <f aca="false">F26-E26</f>
        <v>12.6</v>
      </c>
    </row>
    <row r="27" customFormat="false" ht="15" hidden="false" customHeight="false" outlineLevel="0" collapsed="false">
      <c r="A27" s="15" t="s">
        <v>95</v>
      </c>
      <c r="B27" s="16" t="n">
        <v>80</v>
      </c>
      <c r="C27" s="16" t="n">
        <v>3</v>
      </c>
      <c r="D27" s="23" t="n">
        <f aca="false">C27/B27</f>
        <v>0.0375</v>
      </c>
      <c r="E27" s="25" t="n">
        <v>21</v>
      </c>
      <c r="F27" s="25" t="n">
        <v>41.1</v>
      </c>
      <c r="G27" s="26" t="n">
        <f aca="false">F27-E27</f>
        <v>20.1</v>
      </c>
    </row>
    <row r="28" customFormat="false" ht="15" hidden="false" customHeight="false" outlineLevel="0" collapsed="false">
      <c r="A28" s="15" t="s">
        <v>96</v>
      </c>
      <c r="B28" s="16" t="n">
        <v>67</v>
      </c>
      <c r="C28" s="16" t="n">
        <v>2</v>
      </c>
      <c r="D28" s="23" t="n">
        <f aca="false">C28/B28</f>
        <v>0.0298507462686567</v>
      </c>
      <c r="E28" s="25" t="n">
        <v>27.2</v>
      </c>
      <c r="F28" s="25" t="n">
        <v>46.2</v>
      </c>
      <c r="G28" s="26" t="n">
        <f aca="false">F28-E28</f>
        <v>19</v>
      </c>
    </row>
    <row r="29" customFormat="false" ht="15" hidden="false" customHeight="false" outlineLevel="0" collapsed="false">
      <c r="A29" s="15" t="s">
        <v>97</v>
      </c>
      <c r="B29" s="16" t="n">
        <v>243</v>
      </c>
      <c r="C29" s="16" t="n">
        <v>7</v>
      </c>
      <c r="D29" s="23" t="n">
        <f aca="false">C29/B29</f>
        <v>0.0288065843621399</v>
      </c>
      <c r="E29" s="25" t="n">
        <v>19.4</v>
      </c>
      <c r="F29" s="25" t="n">
        <v>38.8</v>
      </c>
      <c r="G29" s="26" t="n">
        <f aca="false">F29-E29</f>
        <v>19.4</v>
      </c>
    </row>
    <row r="30" customFormat="false" ht="15" hidden="false" customHeight="false" outlineLevel="0" collapsed="false">
      <c r="A30" s="15" t="s">
        <v>98</v>
      </c>
      <c r="B30" s="16" t="n">
        <v>145</v>
      </c>
      <c r="C30" s="16" t="n">
        <v>4</v>
      </c>
      <c r="D30" s="23" t="n">
        <f aca="false">C30/B30</f>
        <v>0.0275862068965517</v>
      </c>
      <c r="E30" s="25" t="n">
        <v>26.4</v>
      </c>
      <c r="F30" s="25" t="n">
        <v>45.3</v>
      </c>
      <c r="G30" s="26" t="n">
        <f aca="false">F30-E30</f>
        <v>18.9</v>
      </c>
    </row>
    <row r="31" customFormat="false" ht="15" hidden="false" customHeight="false" outlineLevel="0" collapsed="false">
      <c r="A31" s="19" t="s">
        <v>99</v>
      </c>
      <c r="B31" s="20" t="n">
        <f aca="false">SUM(B4:B30)</f>
        <v>96470</v>
      </c>
      <c r="C31" s="20" t="n">
        <f aca="false">SUM(C4:C30)</f>
        <v>6534</v>
      </c>
      <c r="D31" s="24" t="n">
        <f aca="false">C31/B31</f>
        <v>0.0677309007981756</v>
      </c>
    </row>
    <row r="33" customFormat="false" ht="15" hidden="false" customHeight="false" outlineLevel="0" collapsed="false">
      <c r="A33" s="22" t="s">
        <v>100</v>
      </c>
    </row>
  </sheetData>
  <conditionalFormatting sqref="D4:D30">
    <cfRule type="colorScale" priority="2">
      <colorScale>
        <cfvo type="min" val="0"/>
        <cfvo type="max" val="0"/>
        <color rgb="FFFFFFFF"/>
        <color rgb="FFF4B6B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14"/>
  </cols>
  <sheetData>
    <row r="1" customFormat="false" ht="15" hidden="false" customHeight="false" outlineLevel="0" collapsed="false">
      <c r="A1" s="13" t="s">
        <v>101</v>
      </c>
    </row>
    <row r="3" customFormat="false" ht="31.5" hidden="false" customHeight="true" outlineLevel="0" collapsed="false">
      <c r="A3" s="14" t="s">
        <v>102</v>
      </c>
      <c r="B3" s="14" t="s">
        <v>103</v>
      </c>
      <c r="C3" s="14" t="s">
        <v>104</v>
      </c>
      <c r="D3" s="14" t="s">
        <v>105</v>
      </c>
      <c r="E3" s="14" t="s">
        <v>106</v>
      </c>
    </row>
    <row r="4" customFormat="false" ht="15" hidden="false" customHeight="false" outlineLevel="0" collapsed="false">
      <c r="A4" s="15" t="s">
        <v>107</v>
      </c>
      <c r="B4" s="16" t="n">
        <v>89443</v>
      </c>
      <c r="C4" s="27" t="n">
        <v>4.29</v>
      </c>
      <c r="D4" s="28" t="n">
        <v>0.093</v>
      </c>
      <c r="E4" s="28" t="n">
        <v>0.623</v>
      </c>
    </row>
    <row r="5" customFormat="false" ht="15" hidden="false" customHeight="false" outlineLevel="0" collapsed="false">
      <c r="A5" s="15" t="s">
        <v>108</v>
      </c>
      <c r="B5" s="16" t="n">
        <v>1852</v>
      </c>
      <c r="C5" s="27" t="n">
        <v>3.29</v>
      </c>
      <c r="D5" s="28" t="n">
        <v>0.321</v>
      </c>
      <c r="E5" s="28" t="n">
        <v>0.332</v>
      </c>
    </row>
    <row r="6" customFormat="false" ht="15" hidden="false" customHeight="false" outlineLevel="0" collapsed="false">
      <c r="A6" s="15" t="s">
        <v>109</v>
      </c>
      <c r="B6" s="16" t="n">
        <v>1748</v>
      </c>
      <c r="C6" s="27" t="n">
        <v>2.1</v>
      </c>
      <c r="D6" s="28" t="n">
        <v>0.677</v>
      </c>
      <c r="E6" s="28" t="n">
        <v>0.141</v>
      </c>
    </row>
    <row r="7" customFormat="false" ht="15" hidden="false" customHeight="false" outlineLevel="0" collapsed="false">
      <c r="A7" s="15" t="s">
        <v>110</v>
      </c>
      <c r="B7" s="16" t="n">
        <v>2781</v>
      </c>
      <c r="C7" s="27" t="n">
        <v>1.7</v>
      </c>
      <c r="D7" s="28" t="n">
        <v>0.793</v>
      </c>
      <c r="E7" s="28" t="n">
        <v>0.07</v>
      </c>
    </row>
    <row r="9" customFormat="false" ht="15" hidden="false" customHeight="false" outlineLevel="0" collapsed="false">
      <c r="A9" s="19" t="s">
        <v>111</v>
      </c>
      <c r="C9" s="29" t="n">
        <f aca="false">C4-SUMPRODUCT(B5:B7,C5:C7)/SUM(B5:B7)</f>
        <v>2.01894844068328</v>
      </c>
    </row>
    <row r="10" customFormat="false" ht="15" hidden="false" customHeight="false" outlineLevel="0" collapsed="false">
      <c r="A10" s="19" t="s">
        <v>112</v>
      </c>
      <c r="C10" s="24" t="n">
        <f aca="false">SUM(B5:B7)/SUM(B4:B7)</f>
        <v>0.0665908331941894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</cols>
  <sheetData>
    <row r="1" customFormat="false" ht="15" hidden="false" customHeight="false" outlineLevel="0" collapsed="false">
      <c r="A1" s="13" t="s">
        <v>113</v>
      </c>
    </row>
    <row r="3" customFormat="false" ht="31.5" hidden="false" customHeight="true" outlineLevel="0" collapsed="false">
      <c r="A3" s="14" t="s">
        <v>114</v>
      </c>
      <c r="B3" s="14" t="s">
        <v>17</v>
      </c>
    </row>
    <row r="4" customFormat="false" ht="15" hidden="false" customHeight="false" outlineLevel="0" collapsed="false">
      <c r="A4" s="15" t="n">
        <v>1</v>
      </c>
      <c r="B4" s="16" t="n">
        <v>11363</v>
      </c>
    </row>
    <row r="5" customFormat="false" ht="15" hidden="false" customHeight="false" outlineLevel="0" collapsed="false">
      <c r="A5" s="15" t="n">
        <v>2</v>
      </c>
      <c r="B5" s="16" t="n">
        <v>3131</v>
      </c>
    </row>
    <row r="6" customFormat="false" ht="15" hidden="false" customHeight="false" outlineLevel="0" collapsed="false">
      <c r="A6" s="15" t="n">
        <v>3</v>
      </c>
      <c r="B6" s="16" t="n">
        <v>8133</v>
      </c>
    </row>
    <row r="7" customFormat="false" ht="15" hidden="false" customHeight="false" outlineLevel="0" collapsed="false">
      <c r="A7" s="15" t="n">
        <v>4</v>
      </c>
      <c r="B7" s="16" t="n">
        <v>19038</v>
      </c>
    </row>
    <row r="8" customFormat="false" ht="15" hidden="false" customHeight="false" outlineLevel="0" collapsed="false">
      <c r="A8" s="15" t="n">
        <v>5</v>
      </c>
      <c r="B8" s="16" t="n">
        <v>57008</v>
      </c>
    </row>
    <row r="10" customFormat="false" ht="15" hidden="false" customHeight="false" outlineLevel="0" collapsed="false">
      <c r="A10" s="19" t="s">
        <v>46</v>
      </c>
      <c r="B10" s="20" t="n">
        <f aca="false">SUM(B4:B8)</f>
        <v>98673</v>
      </c>
    </row>
    <row r="11" customFormat="false" ht="15" hidden="false" customHeight="false" outlineLevel="0" collapsed="false">
      <c r="A11" s="19" t="s">
        <v>115</v>
      </c>
      <c r="B11" s="29" t="n">
        <f aca="false">SUMPRODUCT(A4:A8,B4:B8)/B10</f>
        <v>4.08638634682233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5" hidden="false" customHeight="false" outlineLevel="0" collapsed="false">
      <c r="A1" s="30" t="s">
        <v>116</v>
      </c>
    </row>
    <row r="2" customFormat="false" ht="23.85" hidden="false" customHeight="false" outlineLevel="0" collapsed="false">
      <c r="A2" s="31" t="s">
        <v>117</v>
      </c>
    </row>
    <row r="3" customFormat="false" ht="15" hidden="false" customHeight="false" outlineLevel="0" collapsed="false">
      <c r="A3" s="31" t="s">
        <v>118</v>
      </c>
    </row>
    <row r="4" customFormat="false" ht="15" hidden="false" customHeight="false" outlineLevel="0" collapsed="false">
      <c r="A4" s="31" t="s">
        <v>119</v>
      </c>
    </row>
    <row r="5" customFormat="false" ht="15" hidden="false" customHeight="false" outlineLevel="0" collapsed="false">
      <c r="A5" s="31" t="s">
        <v>120</v>
      </c>
    </row>
    <row r="6" customFormat="false" ht="15" hidden="false" customHeight="false" outlineLevel="0" collapsed="false">
      <c r="A6" s="31" t="s">
        <v>121</v>
      </c>
    </row>
    <row r="7" customFormat="false" ht="15" hidden="false" customHeight="false" outlineLevel="0" collapsed="false">
      <c r="A7" s="31" t="s">
        <v>122</v>
      </c>
    </row>
    <row r="8" customFormat="false" ht="15" hidden="false" customHeight="false" outlineLevel="0" collapsed="false">
      <c r="A8" s="31" t="s">
        <v>123</v>
      </c>
    </row>
    <row r="9" customFormat="false" ht="15" hidden="false" customHeight="false" outlineLevel="0" collapsed="false">
      <c r="A9" s="3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2026-10-02T04:24:39Z</dcterms:created>
  <dc:creator>openpyxl</dc:creator>
  <dc:description/>
  <dc:language>en-US</dc:language>
  <cp:lastModifiedBy/>
  <dcterms:modified xsi:type="dcterms:W3CDTF">2026-10-02T04:28:17Z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